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OG FLOW\Desktop\IPNET L3\Finance\"/>
    </mc:Choice>
  </mc:AlternateContent>
  <xr:revisionPtr revIDLastSave="0" documentId="13_ncr:1_{B3886635-37AD-4916-8485-69D15DF1F1F1}" xr6:coauthVersionLast="47" xr6:coauthVersionMax="47" xr10:uidLastSave="{00000000-0000-0000-0000-000000000000}"/>
  <bookViews>
    <workbookView xWindow="-120" yWindow="-120" windowWidth="24240" windowHeight="15240" activeTab="2" xr2:uid="{00000000-000D-0000-FFFF-FFFF00000000}"/>
  </bookViews>
  <sheets>
    <sheet name="Page de Garde" sheetId="1" r:id="rId1"/>
    <sheet name="Dossier 1 - Budget" sheetId="2" r:id="rId2"/>
    <sheet name="Dossier 2 - Analyse F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3" l="1"/>
  <c r="B19" i="3"/>
  <c r="C12" i="3"/>
  <c r="B12" i="3"/>
  <c r="F8" i="3"/>
  <c r="C18" i="3" s="1"/>
  <c r="E8" i="3"/>
  <c r="B18" i="3" s="1"/>
  <c r="I27" i="2"/>
  <c r="I26" i="2"/>
  <c r="B26" i="2" s="1"/>
  <c r="H25" i="2"/>
  <c r="F25" i="2"/>
  <c r="D25" i="2"/>
  <c r="C24" i="2"/>
  <c r="D24" i="2" s="1"/>
  <c r="C23" i="2"/>
  <c r="D23" i="2" s="1"/>
  <c r="I22" i="2"/>
  <c r="B22" i="2" s="1"/>
  <c r="G21" i="2"/>
  <c r="D21" i="2"/>
  <c r="I21" i="2" s="1"/>
  <c r="D20" i="2"/>
  <c r="I11" i="2"/>
  <c r="B11" i="2" s="1"/>
  <c r="F10" i="2"/>
  <c r="I10" i="2" s="1"/>
  <c r="H9" i="2"/>
  <c r="G9" i="2"/>
  <c r="F9" i="2"/>
  <c r="E9" i="2"/>
  <c r="H8" i="2"/>
  <c r="G8" i="2"/>
  <c r="F8" i="2"/>
  <c r="E8" i="2"/>
  <c r="D8" i="2"/>
  <c r="C8" i="2"/>
  <c r="G7" i="2"/>
  <c r="F7" i="2"/>
  <c r="E7" i="2"/>
  <c r="D7" i="2"/>
  <c r="D12" i="2" s="1"/>
  <c r="D36" i="2" s="1"/>
  <c r="C7" i="2"/>
  <c r="B6" i="2"/>
  <c r="F6" i="2" s="1"/>
  <c r="F12" i="2" l="1"/>
  <c r="F36" i="2" s="1"/>
  <c r="I25" i="2"/>
  <c r="I7" i="2"/>
  <c r="I9" i="2"/>
  <c r="H6" i="2"/>
  <c r="H12" i="2" s="1"/>
  <c r="H36" i="2" s="1"/>
  <c r="I8" i="2"/>
  <c r="G12" i="2"/>
  <c r="G36" i="2" s="1"/>
  <c r="C28" i="2"/>
  <c r="C37" i="2" s="1"/>
  <c r="C20" i="3"/>
  <c r="D19" i="3"/>
  <c r="E23" i="2"/>
  <c r="F23" i="2" s="1"/>
  <c r="G23" i="2" s="1"/>
  <c r="H23" i="2" s="1"/>
  <c r="I23" i="2"/>
  <c r="B23" i="2" s="1"/>
  <c r="E24" i="2"/>
  <c r="F24" i="2" s="1"/>
  <c r="G24" i="2" s="1"/>
  <c r="H24" i="2" s="1"/>
  <c r="B20" i="3"/>
  <c r="D18" i="3"/>
  <c r="E20" i="2"/>
  <c r="D28" i="2"/>
  <c r="D37" i="2" s="1"/>
  <c r="D38" i="2" s="1"/>
  <c r="E12" i="2"/>
  <c r="E36" i="2" s="1"/>
  <c r="E12" i="3"/>
  <c r="F12" i="3"/>
  <c r="C6" i="2"/>
  <c r="D20" i="3" l="1"/>
  <c r="E28" i="2"/>
  <c r="E37" i="2" s="1"/>
  <c r="E38" i="2" s="1"/>
  <c r="F20" i="2"/>
  <c r="I24" i="2"/>
  <c r="B24" i="2" s="1"/>
  <c r="C12" i="2"/>
  <c r="C36" i="2" s="1"/>
  <c r="C38" i="2" s="1"/>
  <c r="C39" i="2" s="1"/>
  <c r="D35" i="2" s="1"/>
  <c r="D39" i="2" s="1"/>
  <c r="E35" i="2" s="1"/>
  <c r="I6" i="2"/>
  <c r="I12" i="2" s="1"/>
  <c r="E39" i="2" l="1"/>
  <c r="F35" i="2" s="1"/>
  <c r="G20" i="2"/>
  <c r="F28" i="2"/>
  <c r="F37" i="2" s="1"/>
  <c r="F38" i="2" s="1"/>
  <c r="H20" i="2" l="1"/>
  <c r="H28" i="2" s="1"/>
  <c r="H37" i="2" s="1"/>
  <c r="H38" i="2" s="1"/>
  <c r="G28" i="2"/>
  <c r="G37" i="2" s="1"/>
  <c r="G38" i="2" s="1"/>
  <c r="I20" i="2"/>
  <c r="F39" i="2"/>
  <c r="G35" i="2" s="1"/>
  <c r="G39" i="2" l="1"/>
  <c r="H35" i="2" s="1"/>
  <c r="H39" i="2" s="1"/>
  <c r="B20" i="2"/>
  <c r="I28" i="2"/>
</calcChain>
</file>

<file path=xl/sharedStrings.xml><?xml version="1.0" encoding="utf-8"?>
<sst xmlns="http://schemas.openxmlformats.org/spreadsheetml/2006/main" count="99" uniqueCount="81">
  <si>
    <t>IPNET INSTITUTE OF TECHNOLOGY</t>
  </si>
  <si>
    <t>BUDGET DES ENCAISSEMENTS</t>
  </si>
  <si>
    <t>Elements</t>
  </si>
  <si>
    <t>Montant Global</t>
  </si>
  <si>
    <t>Janvier</t>
  </si>
  <si>
    <t>Février</t>
  </si>
  <si>
    <t>Mars</t>
  </si>
  <si>
    <t>Avril</t>
  </si>
  <si>
    <t>Mai</t>
  </si>
  <si>
    <t>Juin</t>
  </si>
  <si>
    <t>Total Semestre</t>
  </si>
  <si>
    <t>Scolarité</t>
  </si>
  <si>
    <t>Prestations</t>
  </si>
  <si>
    <t>Chèque Distinction</t>
  </si>
  <si>
    <t>Loyer</t>
  </si>
  <si>
    <t>TOTAL ENCAISSEMENTS</t>
  </si>
  <si>
    <t>BUDGET DES DECAISSEMENTS</t>
  </si>
  <si>
    <t>Salaires</t>
  </si>
  <si>
    <t>Achats</t>
  </si>
  <si>
    <t>Electricité</t>
  </si>
  <si>
    <t>Transport</t>
  </si>
  <si>
    <t>Eau</t>
  </si>
  <si>
    <t>Honoraires</t>
  </si>
  <si>
    <t>Pénalités</t>
  </si>
  <si>
    <t>Acompte Impôts</t>
  </si>
  <si>
    <t>TOTAL DECAISSEMENTS</t>
  </si>
  <si>
    <t>BUDGET DE TRESORERIE</t>
  </si>
  <si>
    <t>Trésorerie Initiale</t>
  </si>
  <si>
    <t>Total Encaissements</t>
  </si>
  <si>
    <t>Total Décaissements</t>
  </si>
  <si>
    <t>Ecart (Enc - Dec)</t>
  </si>
  <si>
    <t>Trésorerie Finale</t>
  </si>
  <si>
    <t>ACTIF</t>
  </si>
  <si>
    <t>MONTANT N</t>
  </si>
  <si>
    <t>MONTANT N-1</t>
  </si>
  <si>
    <t>PASSIF</t>
  </si>
  <si>
    <t>TOTAL ACTIF IMMOBILISE</t>
  </si>
  <si>
    <t>TOTAL CAPRORA</t>
  </si>
  <si>
    <t>TOTAL ACTIF CIRCULANT</t>
  </si>
  <si>
    <t>TOTAL DEFIRA</t>
  </si>
  <si>
    <t>TOTAL TRESORERIE-ACTIF</t>
  </si>
  <si>
    <t>TOTAL RESSOURCES STABLES</t>
  </si>
  <si>
    <t>Ecart de conversion-Actif</t>
  </si>
  <si>
    <t>TOTAL PASSIF CIRCULANT</t>
  </si>
  <si>
    <t>TOTAL TRESORERIE PASSIF</t>
  </si>
  <si>
    <t>Ecart de conversion-Passif</t>
  </si>
  <si>
    <t>TOTAL GENERAL</t>
  </si>
  <si>
    <t>2. Calculs</t>
  </si>
  <si>
    <t>Indicateurs</t>
  </si>
  <si>
    <t>Montant N</t>
  </si>
  <si>
    <t>Montant N-1</t>
  </si>
  <si>
    <t>Var</t>
  </si>
  <si>
    <t>Fonds de Roulement</t>
  </si>
  <si>
    <t>Trésorerie Nette</t>
  </si>
  <si>
    <t>Besoin Fonds Roulement</t>
  </si>
  <si>
    <t xml:space="preserve">Nom: MOGLO </t>
  </si>
  <si>
    <t>Prénoms: Kossi Daniel</t>
  </si>
  <si>
    <t>Matière : FIN 290 (FINANCE POUR NON FINANCIERS)</t>
  </si>
  <si>
    <t>Vente Article Informatique</t>
  </si>
  <si>
    <t>Vente Article  Divers</t>
  </si>
  <si>
    <t>EXAMEN FINAL</t>
  </si>
  <si>
    <t>2025-2026</t>
  </si>
  <si>
    <t>Enseignant: Dr Nalêwazou AWI</t>
  </si>
  <si>
    <r>
      <rPr>
        <b/>
        <sz val="11"/>
        <color theme="1"/>
        <rFont val="Calibri"/>
        <family val="2"/>
        <scheme val="minor"/>
      </rPr>
      <t>1</t>
    </r>
    <r>
      <rPr>
        <b/>
        <sz val="12"/>
        <color theme="1"/>
        <rFont val="Calibri"/>
        <family val="2"/>
        <scheme val="minor"/>
      </rPr>
      <t>. Remplissons le tableau</t>
    </r>
  </si>
  <si>
    <t>OUI. La règle de l'équilibre financier minimum (FR &gt; 0) est respectée sur les deux exercices. De plus, le FR couvre le BFR, garantissant une Trésorerie Nette positive en permanence.</t>
  </si>
  <si>
    <t>4. L'équilibre financier est-il atteint ?</t>
  </si>
  <si>
    <t>Analyse Exercice N-1:</t>
  </si>
  <si>
    <t>La Trésorerie Nette est largement positive (123M), résultant d'un FR excédentaire cumulé à une ressource en fonds de roulement.</t>
  </si>
  <si>
    <t>Le Besoin en Fonds de Roulement (BFR) est négatif (-29M), signifiant que le cycle d'exploitation ne consomme pas de trésorerie mais en génère (Ressources &gt; Emplois).</t>
  </si>
  <si>
    <t>Le Fonds de Roulement (FR) est positif (93M), ce qui indique que les ressources stables financent la totalité des emplois stables et dégagent un excédent.</t>
  </si>
  <si>
    <t>Analyse Exercice N:</t>
  </si>
  <si>
    <t>3. Appréciation de la situation financière</t>
  </si>
  <si>
    <t>2. Etablissement du budget des décaissements pour le 1er semestre 2024</t>
  </si>
  <si>
    <t>1.  Etablissement du budget des encaissements pour le 1er semestre 2024</t>
  </si>
  <si>
    <t>3.Etablissement du budget de trésorerie pour le 1er semestre 2024</t>
  </si>
  <si>
    <t xml:space="preserve">4. Solution proposée: </t>
  </si>
  <si>
    <t>Le Fonds de Roulement (FR) est très confortable (132M), assurant une bonne couverture des investissements.</t>
  </si>
  <si>
    <t>Le Besoin en Fonds de Roulement (BFR) est positif (57M), traduisant un besoin de financement lié au cycle d'exploitation.</t>
  </si>
  <si>
    <t>La Trésorerie Nette (TN) reste positive (75M), car le FR (132M) est suffisant pour couvrir intégralement le BFR (57M).</t>
  </si>
  <si>
    <t>Face aux déficits  (Février, Mai) : Négocier un découvert bancaire ou un crédit de trésorerie à court terme. Demander des délais de paiement supplémentaires aux fournisseurs (notamment pour les gros achats de 225M). Utiliser l'affacturage.</t>
  </si>
  <si>
    <t>Face aux excédents ( Avril, Juin) : Placer les liquidités excédentaires sur des comptes à terme (DAT) pour générer des intérêts. Payer certains fournisseurs au comptant pour bénéficier d'escomptes.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</si>
</sst>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0" formatCode="#\ ###\ ###\ ##0;[Red]\-#\ ###\ ##0"/>
  </numFmts>
  <fonts count="16" x14ac:knownFonts="1">
    <font>
      <sz val="11"/>
      <color theme="1"/>
      <name val="Calibri"/>
      <family val="2"/>
      <scheme val="minor"/>
    </font>
    <font>
      <b/>
      <sz val="16"/>
      <color rgb="FF0000FF"/>
      <name val="Calibri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  <font>
      <sz val="11"/>
      <color theme="1"/>
      <name val="Calibri"/>
      <family val="2"/>
      <scheme val="minor"/>
    </font>
    <font>
      <sz val="14"/>
      <color theme="3" tint="-0.249977111117893"/>
      <name val="Arial"/>
      <family val="2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</font>
    <font>
      <b/>
      <sz val="12"/>
      <color theme="1"/>
      <name val="Calibri"/>
      <family val="2"/>
      <scheme val="minor"/>
    </font>
    <font>
      <b/>
      <u/>
      <sz val="11"/>
      <name val="Calibri"/>
      <family val="2"/>
    </font>
    <font>
      <b/>
      <sz val="14"/>
      <name val="Calibri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theme="7"/>
        <bgColor rgb="FF4F81BD"/>
      </patternFill>
    </fill>
    <fill>
      <patternFill patternType="solid">
        <fgColor theme="5" tint="0.39997558519241921"/>
        <bgColor rgb="FF4F81BD"/>
      </patternFill>
    </fill>
    <fill>
      <patternFill patternType="solid">
        <fgColor theme="5" tint="-0.249977111117893"/>
        <bgColor rgb="FF4F81BD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29">
    <xf numFmtId="0" fontId="0" fillId="0" borderId="0" xfId="0"/>
    <xf numFmtId="0" fontId="1" fillId="0" borderId="0" xfId="0" applyFont="1"/>
    <xf numFmtId="0" fontId="6" fillId="0" borderId="0" xfId="0" applyFont="1"/>
    <xf numFmtId="0" fontId="7" fillId="0" borderId="0" xfId="0" applyFont="1"/>
    <xf numFmtId="0" fontId="2" fillId="0" borderId="0" xfId="0" applyFont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70" fontId="2" fillId="0" borderId="0" xfId="1" applyNumberFormat="1" applyFont="1" applyAlignment="1">
      <alignment horizontal="center" vertical="center" wrapText="1"/>
    </xf>
    <xf numFmtId="170" fontId="0" fillId="0" borderId="0" xfId="1" applyNumberFormat="1" applyFont="1"/>
    <xf numFmtId="170" fontId="3" fillId="2" borderId="1" xfId="1" applyNumberFormat="1" applyFont="1" applyFill="1" applyBorder="1" applyAlignment="1">
      <alignment horizontal="center" vertical="center" wrapText="1"/>
    </xf>
    <xf numFmtId="170" fontId="0" fillId="0" borderId="1" xfId="1" applyNumberFormat="1" applyFont="1" applyBorder="1"/>
    <xf numFmtId="170" fontId="3" fillId="2" borderId="1" xfId="1" applyNumberFormat="1" applyFont="1" applyFill="1" applyBorder="1"/>
    <xf numFmtId="170" fontId="8" fillId="0" borderId="0" xfId="1" applyNumberFormat="1" applyFont="1"/>
    <xf numFmtId="170" fontId="10" fillId="0" borderId="0" xfId="1" applyNumberFormat="1" applyFont="1"/>
    <xf numFmtId="0" fontId="12" fillId="0" borderId="0" xfId="0" applyFont="1"/>
    <xf numFmtId="0" fontId="10" fillId="0" borderId="0" xfId="0" applyFont="1"/>
    <xf numFmtId="0" fontId="9" fillId="0" borderId="0" xfId="0" applyFont="1"/>
    <xf numFmtId="170" fontId="13" fillId="0" borderId="2" xfId="1" applyNumberFormat="1" applyFont="1" applyBorder="1" applyAlignment="1">
      <alignment horizontal="center" vertical="center" wrapText="1"/>
    </xf>
    <xf numFmtId="170" fontId="2" fillId="0" borderId="2" xfId="1" applyNumberFormat="1" applyFont="1" applyBorder="1" applyAlignment="1">
      <alignment horizontal="center" vertical="center" wrapText="1"/>
    </xf>
    <xf numFmtId="170" fontId="11" fillId="0" borderId="0" xfId="1" applyNumberFormat="1" applyFont="1"/>
    <xf numFmtId="0" fontId="14" fillId="0" borderId="0" xfId="0" applyFont="1" applyAlignment="1">
      <alignment horizontal="center"/>
    </xf>
    <xf numFmtId="170" fontId="15" fillId="3" borderId="1" xfId="1" applyNumberFormat="1" applyFont="1" applyFill="1" applyBorder="1" applyAlignment="1">
      <alignment horizontal="center" vertical="center" wrapText="1"/>
    </xf>
    <xf numFmtId="170" fontId="3" fillId="4" borderId="1" xfId="1" applyNumberFormat="1" applyFont="1" applyFill="1" applyBorder="1" applyAlignment="1">
      <alignment horizontal="center" vertical="center" wrapText="1"/>
    </xf>
    <xf numFmtId="170" fontId="3" fillId="5" borderId="1" xfId="1" applyNumberFormat="1" applyFont="1" applyFill="1" applyBorder="1"/>
    <xf numFmtId="170" fontId="0" fillId="6" borderId="1" xfId="1" applyNumberFormat="1" applyFont="1" applyFill="1" applyBorder="1"/>
    <xf numFmtId="170" fontId="0" fillId="6" borderId="1" xfId="1" applyNumberFormat="1" applyFont="1" applyFill="1" applyBorder="1" applyAlignment="1"/>
    <xf numFmtId="170" fontId="4" fillId="6" borderId="1" xfId="1" applyNumberFormat="1" applyFont="1" applyFill="1" applyBorder="1" applyAlignment="1"/>
    <xf numFmtId="170" fontId="4" fillId="6" borderId="1" xfId="1" applyNumberFormat="1" applyFont="1" applyFill="1" applyBorder="1"/>
  </cellXfs>
  <cellStyles count="2">
    <cellStyle name="Millier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447675</xdr:colOff>
      <xdr:row>1</xdr:row>
      <xdr:rowOff>265008</xdr:rowOff>
    </xdr:from>
    <xdr:to>
      <xdr:col>13</xdr:col>
      <xdr:colOff>114300</xdr:colOff>
      <xdr:row>6</xdr:row>
      <xdr:rowOff>9524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38E5F5-B197-9E39-DD6D-B854D7E63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91150" y="455508"/>
          <a:ext cx="4543425" cy="8208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18"/>
  <sheetViews>
    <sheetView workbookViewId="0">
      <selection activeCell="T8" sqref="T8"/>
    </sheetView>
  </sheetViews>
  <sheetFormatPr baseColWidth="10" defaultColWidth="9.140625" defaultRowHeight="15" x14ac:dyDescent="0.25"/>
  <cols>
    <col min="2" max="2" width="18.42578125" customWidth="1"/>
    <col min="3" max="3" width="28.28515625" customWidth="1"/>
  </cols>
  <sheetData>
    <row r="2" spans="2:13" ht="21" x14ac:dyDescent="0.35">
      <c r="B2" s="1"/>
    </row>
    <row r="4" spans="2:13" ht="18.75" x14ac:dyDescent="0.3">
      <c r="B4" s="4"/>
      <c r="C4" s="4"/>
      <c r="D4" s="4"/>
      <c r="E4" s="4"/>
    </row>
    <row r="8" spans="2:13" ht="18" x14ac:dyDescent="0.25">
      <c r="F8" s="3"/>
      <c r="G8" s="7" t="s">
        <v>0</v>
      </c>
      <c r="H8" s="7"/>
      <c r="I8" s="7"/>
      <c r="J8" s="7"/>
      <c r="K8" s="7"/>
      <c r="L8" s="7"/>
      <c r="M8" s="7"/>
    </row>
    <row r="9" spans="2:13" ht="18" x14ac:dyDescent="0.25">
      <c r="H9" s="2"/>
    </row>
    <row r="11" spans="2:13" ht="15.75" x14ac:dyDescent="0.25">
      <c r="G11" s="3"/>
      <c r="H11" s="3"/>
      <c r="I11" s="21" t="s">
        <v>55</v>
      </c>
      <c r="J11" s="5"/>
      <c r="K11" s="3"/>
      <c r="L11" s="3"/>
      <c r="M11" s="3"/>
    </row>
    <row r="12" spans="2:13" ht="15.75" x14ac:dyDescent="0.25">
      <c r="H12" s="21" t="s">
        <v>56</v>
      </c>
      <c r="I12" s="5"/>
      <c r="J12" s="5"/>
      <c r="K12" s="5"/>
    </row>
    <row r="13" spans="2:13" ht="15.75" x14ac:dyDescent="0.25">
      <c r="G13" s="21" t="s">
        <v>57</v>
      </c>
      <c r="H13" s="5"/>
      <c r="I13" s="5"/>
      <c r="J13" s="5"/>
      <c r="K13" s="5"/>
      <c r="L13" s="5"/>
      <c r="M13" s="5"/>
    </row>
    <row r="15" spans="2:13" ht="15.75" x14ac:dyDescent="0.25">
      <c r="I15" s="21" t="s">
        <v>60</v>
      </c>
      <c r="J15" s="6"/>
    </row>
    <row r="16" spans="2:13" ht="15.75" x14ac:dyDescent="0.25">
      <c r="I16" s="21" t="s">
        <v>61</v>
      </c>
      <c r="J16" s="5"/>
    </row>
    <row r="18" spans="8:11" ht="15.75" x14ac:dyDescent="0.25">
      <c r="H18" s="21" t="s">
        <v>62</v>
      </c>
      <c r="I18" s="5"/>
      <c r="J18" s="5"/>
      <c r="K18" s="5"/>
    </row>
  </sheetData>
  <mergeCells count="7">
    <mergeCell ref="I15:J15"/>
    <mergeCell ref="I16:J16"/>
    <mergeCell ref="H18:K18"/>
    <mergeCell ref="G8:M8"/>
    <mergeCell ref="I11:J11"/>
    <mergeCell ref="G13:M13"/>
    <mergeCell ref="H12:K12"/>
  </mergeCells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5"/>
  <sheetViews>
    <sheetView topLeftCell="A35" workbookViewId="0">
      <selection activeCell="J15" sqref="J15"/>
    </sheetView>
  </sheetViews>
  <sheetFormatPr baseColWidth="10" defaultColWidth="9.140625" defaultRowHeight="15" x14ac:dyDescent="0.25"/>
  <cols>
    <col min="1" max="1" width="30" style="9" customWidth="1"/>
    <col min="2" max="2" width="21.140625" style="9" customWidth="1"/>
    <col min="3" max="10" width="15" style="9" customWidth="1"/>
    <col min="11" max="16384" width="9.140625" style="9"/>
  </cols>
  <sheetData>
    <row r="1" spans="1:9" ht="15" customHeight="1" x14ac:dyDescent="0.25"/>
    <row r="2" spans="1:9" ht="15.75" x14ac:dyDescent="0.25">
      <c r="A2" s="20" t="s">
        <v>73</v>
      </c>
    </row>
    <row r="4" spans="1:9" ht="37.5" customHeight="1" x14ac:dyDescent="0.25">
      <c r="A4" s="18" t="s">
        <v>1</v>
      </c>
      <c r="B4" s="18"/>
      <c r="C4" s="18"/>
      <c r="D4" s="18"/>
      <c r="E4" s="18"/>
      <c r="F4" s="18"/>
      <c r="G4" s="18"/>
      <c r="H4" s="18"/>
      <c r="I4" s="18"/>
    </row>
    <row r="5" spans="1:9" x14ac:dyDescent="0.25">
      <c r="A5" s="22" t="s">
        <v>2</v>
      </c>
      <c r="B5" s="22" t="s">
        <v>3</v>
      </c>
      <c r="C5" s="22" t="s">
        <v>4</v>
      </c>
      <c r="D5" s="22" t="s">
        <v>5</v>
      </c>
      <c r="E5" s="22" t="s">
        <v>6</v>
      </c>
      <c r="F5" s="22" t="s">
        <v>7</v>
      </c>
      <c r="G5" s="22" t="s">
        <v>8</v>
      </c>
      <c r="H5" s="22" t="s">
        <v>9</v>
      </c>
      <c r="I5" s="22" t="s">
        <v>10</v>
      </c>
    </row>
    <row r="6" spans="1:9" ht="37.5" customHeight="1" x14ac:dyDescent="0.25">
      <c r="A6" s="11" t="s">
        <v>11</v>
      </c>
      <c r="B6" s="11">
        <f>500*1000000</f>
        <v>500000000</v>
      </c>
      <c r="C6" s="11">
        <f>B6*0.4</f>
        <v>200000000</v>
      </c>
      <c r="D6" s="11">
        <v>0</v>
      </c>
      <c r="E6" s="11">
        <v>0</v>
      </c>
      <c r="F6" s="11">
        <f>B6*0.3</f>
        <v>150000000</v>
      </c>
      <c r="G6" s="11">
        <v>0</v>
      </c>
      <c r="H6" s="11">
        <f>B6*0.3</f>
        <v>150000000</v>
      </c>
      <c r="I6" s="11">
        <f t="shared" ref="I6:I11" si="0">SUM(C6:H6)</f>
        <v>500000000</v>
      </c>
    </row>
    <row r="7" spans="1:9" x14ac:dyDescent="0.25">
      <c r="A7" s="11" t="s">
        <v>58</v>
      </c>
      <c r="B7" s="11">
        <v>210000000</v>
      </c>
      <c r="C7" s="11">
        <f>B7*0.4</f>
        <v>84000000</v>
      </c>
      <c r="D7" s="11">
        <f>B7*0.3</f>
        <v>63000000</v>
      </c>
      <c r="E7" s="11">
        <f>B7*0.1</f>
        <v>21000000</v>
      </c>
      <c r="F7" s="11">
        <f>B7*0.1</f>
        <v>21000000</v>
      </c>
      <c r="G7" s="11">
        <f>B7*0.1</f>
        <v>21000000</v>
      </c>
      <c r="H7" s="11">
        <v>0</v>
      </c>
      <c r="I7" s="11">
        <f t="shared" si="0"/>
        <v>210000000</v>
      </c>
    </row>
    <row r="8" spans="1:9" x14ac:dyDescent="0.25">
      <c r="A8" s="11" t="s">
        <v>12</v>
      </c>
      <c r="B8" s="11">
        <v>135000000</v>
      </c>
      <c r="C8" s="11">
        <f>$B$8/6</f>
        <v>22500000</v>
      </c>
      <c r="D8" s="11">
        <f>$B$8/6</f>
        <v>22500000</v>
      </c>
      <c r="E8" s="11">
        <f>$B$8/6</f>
        <v>22500000</v>
      </c>
      <c r="F8" s="11">
        <f>$B$8/6</f>
        <v>22500000</v>
      </c>
      <c r="G8" s="11">
        <f>$B$8/6</f>
        <v>22500000</v>
      </c>
      <c r="H8" s="11">
        <f>$B$8/6</f>
        <v>22500000</v>
      </c>
      <c r="I8" s="11">
        <f t="shared" si="0"/>
        <v>135000000</v>
      </c>
    </row>
    <row r="9" spans="1:9" x14ac:dyDescent="0.25">
      <c r="A9" s="11" t="s">
        <v>59</v>
      </c>
      <c r="B9" s="11">
        <v>120000000</v>
      </c>
      <c r="C9" s="11">
        <v>0</v>
      </c>
      <c r="D9" s="11">
        <v>0</v>
      </c>
      <c r="E9" s="11">
        <f>B9*0.3</f>
        <v>36000000</v>
      </c>
      <c r="F9" s="11">
        <f>(B9*0.7)/3</f>
        <v>28000000</v>
      </c>
      <c r="G9" s="11">
        <f>(B9*0.7)/3</f>
        <v>28000000</v>
      </c>
      <c r="H9" s="11">
        <f>(B9*0.7)/3</f>
        <v>28000000</v>
      </c>
      <c r="I9" s="11">
        <f t="shared" si="0"/>
        <v>120000000</v>
      </c>
    </row>
    <row r="10" spans="1:9" x14ac:dyDescent="0.25">
      <c r="A10" s="11" t="s">
        <v>13</v>
      </c>
      <c r="B10" s="11">
        <v>50000000</v>
      </c>
      <c r="C10" s="11">
        <v>0</v>
      </c>
      <c r="D10" s="11">
        <v>0</v>
      </c>
      <c r="E10" s="11">
        <v>0</v>
      </c>
      <c r="F10" s="11">
        <f>B10</f>
        <v>50000000</v>
      </c>
      <c r="G10" s="11">
        <v>0</v>
      </c>
      <c r="H10" s="11">
        <v>0</v>
      </c>
      <c r="I10" s="11">
        <f t="shared" si="0"/>
        <v>50000000</v>
      </c>
    </row>
    <row r="11" spans="1:9" ht="15" customHeight="1" x14ac:dyDescent="0.25">
      <c r="A11" s="11" t="s">
        <v>14</v>
      </c>
      <c r="B11" s="11">
        <f>I11</f>
        <v>11800000</v>
      </c>
      <c r="C11" s="11">
        <v>1800000</v>
      </c>
      <c r="D11" s="11">
        <v>2000000</v>
      </c>
      <c r="E11" s="11">
        <v>2000000</v>
      </c>
      <c r="F11" s="11">
        <v>2000000</v>
      </c>
      <c r="G11" s="11">
        <v>2000000</v>
      </c>
      <c r="H11" s="11">
        <v>2000000</v>
      </c>
      <c r="I11" s="11">
        <f t="shared" si="0"/>
        <v>11800000</v>
      </c>
    </row>
    <row r="12" spans="1:9" x14ac:dyDescent="0.25">
      <c r="A12" s="28" t="s">
        <v>15</v>
      </c>
      <c r="B12" s="25"/>
      <c r="C12" s="28">
        <f t="shared" ref="C12:I12" si="1">SUM(C6:C11)</f>
        <v>308300000</v>
      </c>
      <c r="D12" s="28">
        <f t="shared" si="1"/>
        <v>87500000</v>
      </c>
      <c r="E12" s="28">
        <f t="shared" si="1"/>
        <v>81500000</v>
      </c>
      <c r="F12" s="28">
        <f t="shared" si="1"/>
        <v>273500000</v>
      </c>
      <c r="G12" s="28">
        <f t="shared" si="1"/>
        <v>73500000</v>
      </c>
      <c r="H12" s="28">
        <f t="shared" si="1"/>
        <v>202500000</v>
      </c>
      <c r="I12" s="28">
        <f t="shared" si="1"/>
        <v>1026800000</v>
      </c>
    </row>
    <row r="15" spans="1:9" ht="15.75" x14ac:dyDescent="0.25">
      <c r="A15" s="20" t="s">
        <v>72</v>
      </c>
    </row>
    <row r="18" spans="1:9" ht="37.5" customHeight="1" x14ac:dyDescent="0.25">
      <c r="A18" s="19" t="s">
        <v>16</v>
      </c>
      <c r="B18" s="19"/>
      <c r="C18" s="19"/>
      <c r="D18" s="19"/>
      <c r="E18" s="19"/>
      <c r="F18" s="19"/>
      <c r="G18" s="19"/>
      <c r="H18" s="19"/>
      <c r="I18" s="19"/>
    </row>
    <row r="19" spans="1:9" x14ac:dyDescent="0.25">
      <c r="A19" s="23" t="s">
        <v>2</v>
      </c>
      <c r="B19" s="23" t="s">
        <v>3</v>
      </c>
      <c r="C19" s="23" t="s">
        <v>4</v>
      </c>
      <c r="D19" s="23" t="s">
        <v>5</v>
      </c>
      <c r="E19" s="23" t="s">
        <v>6</v>
      </c>
      <c r="F19" s="23" t="s">
        <v>7</v>
      </c>
      <c r="G19" s="23" t="s">
        <v>8</v>
      </c>
      <c r="H19" s="23" t="s">
        <v>9</v>
      </c>
      <c r="I19" s="23" t="s">
        <v>10</v>
      </c>
    </row>
    <row r="20" spans="1:9" ht="37.5" customHeight="1" x14ac:dyDescent="0.25">
      <c r="A20" s="11" t="s">
        <v>17</v>
      </c>
      <c r="B20" s="11">
        <f>I20</f>
        <v>69300000</v>
      </c>
      <c r="C20" s="11">
        <v>10800000</v>
      </c>
      <c r="D20" s="11">
        <f>C20+300000</f>
        <v>11100000</v>
      </c>
      <c r="E20" s="11">
        <f>D20+300000</f>
        <v>11400000</v>
      </c>
      <c r="F20" s="11">
        <f>E20+300000</f>
        <v>11700000</v>
      </c>
      <c r="G20" s="11">
        <f>F20+300000</f>
        <v>12000000</v>
      </c>
      <c r="H20" s="11">
        <f>G20+300000</f>
        <v>12300000</v>
      </c>
      <c r="I20" s="11">
        <f t="shared" ref="I20:I27" si="2">SUM(C20:H20)</f>
        <v>69300000</v>
      </c>
    </row>
    <row r="21" spans="1:9" x14ac:dyDescent="0.25">
      <c r="A21" s="11" t="s">
        <v>18</v>
      </c>
      <c r="B21" s="11">
        <v>450000000</v>
      </c>
      <c r="C21" s="11">
        <v>0</v>
      </c>
      <c r="D21" s="11">
        <f>B21/2</f>
        <v>225000000</v>
      </c>
      <c r="E21" s="11">
        <v>0</v>
      </c>
      <c r="F21" s="11">
        <v>0</v>
      </c>
      <c r="G21" s="11">
        <f>B21/2</f>
        <v>225000000</v>
      </c>
      <c r="H21" s="11">
        <v>0</v>
      </c>
      <c r="I21" s="11">
        <f t="shared" si="2"/>
        <v>450000000</v>
      </c>
    </row>
    <row r="22" spans="1:9" x14ac:dyDescent="0.25">
      <c r="A22" s="11" t="s">
        <v>19</v>
      </c>
      <c r="B22" s="11">
        <f>I22</f>
        <v>5700000</v>
      </c>
      <c r="C22" s="11">
        <v>700000</v>
      </c>
      <c r="D22" s="11">
        <v>1000000</v>
      </c>
      <c r="E22" s="11">
        <v>1000000</v>
      </c>
      <c r="F22" s="11">
        <v>1000000</v>
      </c>
      <c r="G22" s="11">
        <v>1000000</v>
      </c>
      <c r="H22" s="11">
        <v>1000000</v>
      </c>
      <c r="I22" s="11">
        <f t="shared" si="2"/>
        <v>5700000</v>
      </c>
    </row>
    <row r="23" spans="1:9" ht="15" customHeight="1" x14ac:dyDescent="0.25">
      <c r="A23" s="11" t="s">
        <v>20</v>
      </c>
      <c r="B23" s="11">
        <f>I23</f>
        <v>9519546.8812499996</v>
      </c>
      <c r="C23" s="11">
        <f>1200000*1.05</f>
        <v>1260000</v>
      </c>
      <c r="D23" s="11">
        <f>C23*1.05</f>
        <v>1323000</v>
      </c>
      <c r="E23" s="11">
        <f>D23*1.05</f>
        <v>1389150</v>
      </c>
      <c r="F23" s="11">
        <f>E23*1.15</f>
        <v>1597522.4999999998</v>
      </c>
      <c r="G23" s="11">
        <f>F23*1.15</f>
        <v>1837150.8749999995</v>
      </c>
      <c r="H23" s="11">
        <f>G23*1.15</f>
        <v>2112723.5062499992</v>
      </c>
      <c r="I23" s="11">
        <f t="shared" si="2"/>
        <v>9519546.8812499996</v>
      </c>
    </row>
    <row r="24" spans="1:9" x14ac:dyDescent="0.25">
      <c r="A24" s="11" t="s">
        <v>21</v>
      </c>
      <c r="B24" s="11">
        <f>I24</f>
        <v>2325000</v>
      </c>
      <c r="C24" s="11">
        <f>300000+25000</f>
        <v>325000</v>
      </c>
      <c r="D24" s="11">
        <f>C24+25000</f>
        <v>350000</v>
      </c>
      <c r="E24" s="11">
        <f>D24+25000</f>
        <v>375000</v>
      </c>
      <c r="F24" s="11">
        <f>E24+25000</f>
        <v>400000</v>
      </c>
      <c r="G24" s="11">
        <f>F24+25000</f>
        <v>425000</v>
      </c>
      <c r="H24" s="11">
        <f>G24+25000</f>
        <v>450000</v>
      </c>
      <c r="I24" s="11">
        <f t="shared" si="2"/>
        <v>2325000</v>
      </c>
    </row>
    <row r="25" spans="1:9" x14ac:dyDescent="0.25">
      <c r="A25" s="11" t="s">
        <v>22</v>
      </c>
      <c r="B25" s="11">
        <v>21000000</v>
      </c>
      <c r="C25" s="11">
        <v>0</v>
      </c>
      <c r="D25" s="11">
        <f>B25/3</f>
        <v>7000000</v>
      </c>
      <c r="E25" s="11">
        <v>0</v>
      </c>
      <c r="F25" s="11">
        <f>B25/3</f>
        <v>7000000</v>
      </c>
      <c r="G25" s="11">
        <v>0</v>
      </c>
      <c r="H25" s="11">
        <f>B25/3</f>
        <v>7000000</v>
      </c>
      <c r="I25" s="11">
        <f t="shared" si="2"/>
        <v>21000000</v>
      </c>
    </row>
    <row r="26" spans="1:9" x14ac:dyDescent="0.25">
      <c r="A26" s="11" t="s">
        <v>23</v>
      </c>
      <c r="B26" s="11">
        <f>I26</f>
        <v>70000000</v>
      </c>
      <c r="C26" s="11">
        <v>0</v>
      </c>
      <c r="D26" s="11">
        <v>27000000</v>
      </c>
      <c r="E26" s="11">
        <v>18000000</v>
      </c>
      <c r="F26" s="11">
        <v>0</v>
      </c>
      <c r="G26" s="11">
        <v>25000000</v>
      </c>
      <c r="H26" s="11">
        <v>0</v>
      </c>
      <c r="I26" s="11">
        <f t="shared" si="2"/>
        <v>70000000</v>
      </c>
    </row>
    <row r="27" spans="1:9" x14ac:dyDescent="0.25">
      <c r="A27" s="11" t="s">
        <v>24</v>
      </c>
      <c r="B27" s="11">
        <v>300000000</v>
      </c>
      <c r="C27" s="11">
        <v>180000000</v>
      </c>
      <c r="D27" s="11">
        <v>0</v>
      </c>
      <c r="E27" s="11">
        <v>0</v>
      </c>
      <c r="F27" s="11">
        <v>0</v>
      </c>
      <c r="G27" s="11">
        <v>120000000</v>
      </c>
      <c r="H27" s="11">
        <v>0</v>
      </c>
      <c r="I27" s="11">
        <f t="shared" si="2"/>
        <v>300000000</v>
      </c>
    </row>
    <row r="28" spans="1:9" x14ac:dyDescent="0.25">
      <c r="A28" s="28" t="s">
        <v>25</v>
      </c>
      <c r="B28" s="25"/>
      <c r="C28" s="28">
        <f t="shared" ref="C28:I28" si="3">SUM(C20:C27)</f>
        <v>193085000</v>
      </c>
      <c r="D28" s="28">
        <f t="shared" si="3"/>
        <v>272773000</v>
      </c>
      <c r="E28" s="28">
        <f t="shared" si="3"/>
        <v>32164150</v>
      </c>
      <c r="F28" s="28">
        <f t="shared" si="3"/>
        <v>21697522.5</v>
      </c>
      <c r="G28" s="28">
        <f t="shared" si="3"/>
        <v>385262150.875</v>
      </c>
      <c r="H28" s="28">
        <f t="shared" si="3"/>
        <v>22862723.506250001</v>
      </c>
      <c r="I28" s="28">
        <f t="shared" si="3"/>
        <v>927844546.88125002</v>
      </c>
    </row>
    <row r="31" spans="1:9" ht="15.75" x14ac:dyDescent="0.25">
      <c r="A31" s="20" t="s">
        <v>74</v>
      </c>
    </row>
    <row r="33" spans="1:16" ht="18.75" x14ac:dyDescent="0.25">
      <c r="A33" s="8" t="s">
        <v>26</v>
      </c>
      <c r="B33" s="8"/>
      <c r="C33" s="8"/>
      <c r="D33" s="8"/>
      <c r="E33" s="8"/>
      <c r="F33" s="8"/>
      <c r="G33" s="8"/>
      <c r="H33" s="8"/>
      <c r="I33" s="8"/>
      <c r="J33" s="8"/>
    </row>
    <row r="34" spans="1:16" x14ac:dyDescent="0.25">
      <c r="C34" s="10" t="s">
        <v>4</v>
      </c>
      <c r="D34" s="10" t="s">
        <v>5</v>
      </c>
      <c r="E34" s="10" t="s">
        <v>6</v>
      </c>
      <c r="F34" s="10" t="s">
        <v>7</v>
      </c>
      <c r="G34" s="10" t="s">
        <v>8</v>
      </c>
      <c r="H34" s="10" t="s">
        <v>9</v>
      </c>
    </row>
    <row r="35" spans="1:16" x14ac:dyDescent="0.25">
      <c r="B35" s="11" t="s">
        <v>27</v>
      </c>
      <c r="C35" s="11">
        <v>35000000</v>
      </c>
      <c r="D35" s="11">
        <f>C39</f>
        <v>150215000</v>
      </c>
      <c r="E35" s="11">
        <f>D39</f>
        <v>-35058000</v>
      </c>
      <c r="F35" s="11">
        <f>E39</f>
        <v>14277850</v>
      </c>
      <c r="G35" s="11">
        <f>F39</f>
        <v>266080327.5</v>
      </c>
      <c r="H35" s="11">
        <f>G39</f>
        <v>-45681823.375</v>
      </c>
    </row>
    <row r="36" spans="1:16" x14ac:dyDescent="0.25">
      <c r="B36" s="11" t="s">
        <v>28</v>
      </c>
      <c r="C36" s="11">
        <f>C12</f>
        <v>308300000</v>
      </c>
      <c r="D36" s="11">
        <f>D12</f>
        <v>87500000</v>
      </c>
      <c r="E36" s="11">
        <f>E12</f>
        <v>81500000</v>
      </c>
      <c r="F36" s="11">
        <f>F12</f>
        <v>273500000</v>
      </c>
      <c r="G36" s="11">
        <f>G12</f>
        <v>73500000</v>
      </c>
      <c r="H36" s="11">
        <f>H12</f>
        <v>202500000</v>
      </c>
    </row>
    <row r="37" spans="1:16" x14ac:dyDescent="0.25">
      <c r="B37" s="11" t="s">
        <v>29</v>
      </c>
      <c r="C37" s="11">
        <f>C28</f>
        <v>193085000</v>
      </c>
      <c r="D37" s="11">
        <f>D28</f>
        <v>272773000</v>
      </c>
      <c r="E37" s="11">
        <f>E28</f>
        <v>32164150</v>
      </c>
      <c r="F37" s="11">
        <f>F28</f>
        <v>21697522.5</v>
      </c>
      <c r="G37" s="11">
        <f>G28</f>
        <v>385262150.875</v>
      </c>
      <c r="H37" s="11">
        <f>H28</f>
        <v>22862723.506250001</v>
      </c>
    </row>
    <row r="38" spans="1:16" x14ac:dyDescent="0.25">
      <c r="B38" s="11" t="s">
        <v>30</v>
      </c>
      <c r="C38" s="11">
        <f t="shared" ref="C38:H38" si="4">C36-C37</f>
        <v>115215000</v>
      </c>
      <c r="D38" s="11">
        <f t="shared" si="4"/>
        <v>-185273000</v>
      </c>
      <c r="E38" s="11">
        <f t="shared" si="4"/>
        <v>49335850</v>
      </c>
      <c r="F38" s="11">
        <f t="shared" si="4"/>
        <v>251802477.5</v>
      </c>
      <c r="G38" s="11">
        <f t="shared" si="4"/>
        <v>-311762150.875</v>
      </c>
      <c r="H38" s="11">
        <f t="shared" si="4"/>
        <v>179637276.49375001</v>
      </c>
    </row>
    <row r="39" spans="1:16" x14ac:dyDescent="0.25">
      <c r="B39" s="26" t="s">
        <v>31</v>
      </c>
      <c r="C39" s="27">
        <f t="shared" ref="C39:H39" si="5">C35+C38</f>
        <v>150215000</v>
      </c>
      <c r="D39" s="27">
        <f t="shared" si="5"/>
        <v>-35058000</v>
      </c>
      <c r="E39" s="27">
        <f t="shared" si="5"/>
        <v>14277850</v>
      </c>
      <c r="F39" s="27">
        <f t="shared" si="5"/>
        <v>266080327.5</v>
      </c>
      <c r="G39" s="27">
        <f t="shared" si="5"/>
        <v>-45681823.375</v>
      </c>
      <c r="H39" s="27">
        <f t="shared" si="5"/>
        <v>133955453.11875001</v>
      </c>
    </row>
    <row r="42" spans="1:16" ht="15.75" x14ac:dyDescent="0.25">
      <c r="A42" s="20" t="s">
        <v>75</v>
      </c>
    </row>
    <row r="44" spans="1:16" x14ac:dyDescent="0.25">
      <c r="A44" t="s">
        <v>79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x14ac:dyDescent="0.25">
      <c r="A45" t="s">
        <v>80</v>
      </c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</sheetData>
  <mergeCells count="3">
    <mergeCell ref="A33:J33"/>
    <mergeCell ref="A4:I4"/>
    <mergeCell ref="A18:I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36"/>
  <sheetViews>
    <sheetView tabSelected="1" workbookViewId="0">
      <selection activeCell="H21" sqref="H21"/>
    </sheetView>
  </sheetViews>
  <sheetFormatPr baseColWidth="10" defaultColWidth="9.140625" defaultRowHeight="15" x14ac:dyDescent="0.25"/>
  <cols>
    <col min="1" max="1" width="25.140625" style="9" customWidth="1"/>
    <col min="2" max="2" width="17.140625" style="9" customWidth="1"/>
    <col min="3" max="3" width="15.28515625" style="9" bestFit="1" customWidth="1"/>
    <col min="4" max="4" width="30" style="9" customWidth="1"/>
    <col min="5" max="5" width="16.85546875" style="9" bestFit="1" customWidth="1"/>
    <col min="6" max="6" width="21" style="9" customWidth="1"/>
    <col min="7" max="7" width="14.7109375" style="9" customWidth="1"/>
    <col min="8" max="8" width="25.28515625" style="9" customWidth="1"/>
    <col min="9" max="16384" width="9.140625" style="9"/>
  </cols>
  <sheetData>
    <row r="2" spans="1:6" ht="15.75" x14ac:dyDescent="0.25">
      <c r="A2" s="13" t="s">
        <v>63</v>
      </c>
    </row>
    <row r="5" spans="1:6" x14ac:dyDescent="0.25">
      <c r="A5" s="24" t="s">
        <v>32</v>
      </c>
      <c r="B5" s="24" t="s">
        <v>33</v>
      </c>
      <c r="C5" s="24" t="s">
        <v>34</v>
      </c>
      <c r="D5" s="24" t="s">
        <v>35</v>
      </c>
      <c r="E5" s="24" t="s">
        <v>33</v>
      </c>
      <c r="F5" s="24" t="s">
        <v>34</v>
      </c>
    </row>
    <row r="6" spans="1:6" x14ac:dyDescent="0.25">
      <c r="A6" s="11" t="s">
        <v>36</v>
      </c>
      <c r="B6" s="11">
        <v>720322773</v>
      </c>
      <c r="C6" s="11">
        <v>210743285</v>
      </c>
      <c r="D6" s="11" t="s">
        <v>37</v>
      </c>
      <c r="E6" s="11">
        <v>656959701</v>
      </c>
      <c r="F6" s="11">
        <v>286069991</v>
      </c>
    </row>
    <row r="7" spans="1:6" x14ac:dyDescent="0.25">
      <c r="A7" s="11" t="s">
        <v>38</v>
      </c>
      <c r="B7" s="11">
        <v>196004578</v>
      </c>
      <c r="C7" s="11">
        <v>160760651</v>
      </c>
      <c r="D7" s="11" t="s">
        <v>39</v>
      </c>
      <c r="E7" s="11">
        <v>156815441</v>
      </c>
      <c r="F7" s="11">
        <v>57064697</v>
      </c>
    </row>
    <row r="8" spans="1:6" x14ac:dyDescent="0.25">
      <c r="A8" s="11" t="s">
        <v>40</v>
      </c>
      <c r="B8" s="11">
        <v>123097127</v>
      </c>
      <c r="C8" s="11">
        <v>74584157</v>
      </c>
      <c r="D8" s="11" t="s">
        <v>41</v>
      </c>
      <c r="E8" s="11">
        <f>E6+E7</f>
        <v>813775142</v>
      </c>
      <c r="F8" s="11">
        <f>F6+F7</f>
        <v>343134688</v>
      </c>
    </row>
    <row r="9" spans="1:6" x14ac:dyDescent="0.25">
      <c r="A9" s="11" t="s">
        <v>42</v>
      </c>
      <c r="B9" s="11">
        <v>15000000</v>
      </c>
      <c r="C9" s="11">
        <v>0</v>
      </c>
      <c r="D9" s="11" t="s">
        <v>43</v>
      </c>
      <c r="E9" s="11">
        <v>238148411</v>
      </c>
      <c r="F9" s="11">
        <v>102953405</v>
      </c>
    </row>
    <row r="10" spans="1:6" x14ac:dyDescent="0.25">
      <c r="A10" s="11"/>
      <c r="B10" s="11">
        <v>0</v>
      </c>
      <c r="C10" s="11">
        <v>0</v>
      </c>
      <c r="D10" s="11" t="s">
        <v>44</v>
      </c>
      <c r="E10" s="11">
        <v>0</v>
      </c>
      <c r="F10" s="11">
        <v>0</v>
      </c>
    </row>
    <row r="11" spans="1:6" x14ac:dyDescent="0.25">
      <c r="A11" s="11"/>
      <c r="B11" s="11">
        <v>0</v>
      </c>
      <c r="C11" s="11">
        <v>0</v>
      </c>
      <c r="D11" s="11" t="s">
        <v>45</v>
      </c>
      <c r="E11" s="11">
        <v>2500925</v>
      </c>
      <c r="F11" s="11">
        <v>0</v>
      </c>
    </row>
    <row r="12" spans="1:6" x14ac:dyDescent="0.25">
      <c r="A12" s="25" t="s">
        <v>46</v>
      </c>
      <c r="B12" s="25">
        <f>SUM(B6:B11)</f>
        <v>1054424478</v>
      </c>
      <c r="C12" s="25">
        <f>SUM(C6:C11)</f>
        <v>446088093</v>
      </c>
      <c r="D12" s="25" t="s">
        <v>46</v>
      </c>
      <c r="E12" s="25">
        <f>SUM(E8:E11)</f>
        <v>1054424478</v>
      </c>
      <c r="F12" s="25">
        <f>SUM(F8:F11)</f>
        <v>446088093</v>
      </c>
    </row>
    <row r="15" spans="1:6" ht="15.75" x14ac:dyDescent="0.25">
      <c r="A15" s="14" t="s">
        <v>47</v>
      </c>
    </row>
    <row r="17" spans="1:6" x14ac:dyDescent="0.25">
      <c r="A17" s="12" t="s">
        <v>48</v>
      </c>
      <c r="B17" s="12" t="s">
        <v>49</v>
      </c>
      <c r="C17" s="12" t="s">
        <v>50</v>
      </c>
      <c r="D17" s="12" t="s">
        <v>51</v>
      </c>
    </row>
    <row r="18" spans="1:6" x14ac:dyDescent="0.25">
      <c r="A18" s="11" t="s">
        <v>52</v>
      </c>
      <c r="B18" s="11">
        <f>E8-B6</f>
        <v>93452369</v>
      </c>
      <c r="C18" s="11">
        <f>F8-C6</f>
        <v>132391403</v>
      </c>
      <c r="D18" s="11">
        <f>B18-C18</f>
        <v>-38939034</v>
      </c>
    </row>
    <row r="19" spans="1:6" x14ac:dyDescent="0.25">
      <c r="A19" s="11" t="s">
        <v>53</v>
      </c>
      <c r="B19" s="11">
        <f>B8-E10</f>
        <v>123097127</v>
      </c>
      <c r="C19" s="11">
        <f>C8-F10</f>
        <v>74584157</v>
      </c>
      <c r="D19" s="11">
        <f>B19-C19</f>
        <v>48512970</v>
      </c>
    </row>
    <row r="20" spans="1:6" x14ac:dyDescent="0.25">
      <c r="A20" s="11" t="s">
        <v>54</v>
      </c>
      <c r="B20" s="11">
        <f>B18-B19</f>
        <v>-29644758</v>
      </c>
      <c r="C20" s="11">
        <f>C18-C19</f>
        <v>57807246</v>
      </c>
      <c r="D20" s="11">
        <f>B20-C20</f>
        <v>-87452004</v>
      </c>
    </row>
    <row r="23" spans="1:6" ht="15.75" x14ac:dyDescent="0.25">
      <c r="A23" s="16" t="s">
        <v>71</v>
      </c>
      <c r="B23" s="17"/>
      <c r="C23"/>
      <c r="D23"/>
      <c r="E23"/>
      <c r="F23"/>
    </row>
    <row r="24" spans="1:6" x14ac:dyDescent="0.25">
      <c r="A24" s="15" t="s">
        <v>70</v>
      </c>
      <c r="B24"/>
      <c r="C24"/>
      <c r="D24"/>
      <c r="E24"/>
      <c r="F24"/>
    </row>
    <row r="25" spans="1:6" x14ac:dyDescent="0.25">
      <c r="A25" t="s">
        <v>69</v>
      </c>
      <c r="B25"/>
      <c r="C25"/>
      <c r="D25"/>
      <c r="E25"/>
      <c r="F25"/>
    </row>
    <row r="26" spans="1:6" x14ac:dyDescent="0.25">
      <c r="A26" t="s">
        <v>68</v>
      </c>
      <c r="B26"/>
      <c r="C26"/>
      <c r="D26"/>
      <c r="E26"/>
      <c r="F26"/>
    </row>
    <row r="27" spans="1:6" x14ac:dyDescent="0.25">
      <c r="A27" t="s">
        <v>67</v>
      </c>
      <c r="B27"/>
      <c r="C27"/>
      <c r="D27"/>
      <c r="E27"/>
      <c r="F27"/>
    </row>
    <row r="28" spans="1:6" x14ac:dyDescent="0.25">
      <c r="A28"/>
      <c r="B28"/>
      <c r="C28"/>
      <c r="D28"/>
      <c r="E28"/>
      <c r="F28"/>
    </row>
    <row r="29" spans="1:6" x14ac:dyDescent="0.25">
      <c r="A29" s="15" t="s">
        <v>66</v>
      </c>
      <c r="B29"/>
      <c r="C29"/>
      <c r="D29"/>
      <c r="E29"/>
      <c r="F29"/>
    </row>
    <row r="30" spans="1:6" x14ac:dyDescent="0.25">
      <c r="A30" t="s">
        <v>76</v>
      </c>
      <c r="B30"/>
      <c r="C30"/>
      <c r="D30"/>
      <c r="E30"/>
      <c r="F30"/>
    </row>
    <row r="31" spans="1:6" x14ac:dyDescent="0.25">
      <c r="A31" t="s">
        <v>77</v>
      </c>
      <c r="B31"/>
      <c r="C31"/>
      <c r="D31"/>
      <c r="E31"/>
      <c r="F31"/>
    </row>
    <row r="32" spans="1:6" x14ac:dyDescent="0.25">
      <c r="A32" t="s">
        <v>78</v>
      </c>
      <c r="B32"/>
      <c r="C32"/>
      <c r="D32"/>
      <c r="E32"/>
      <c r="F32"/>
    </row>
    <row r="33" spans="1:6" x14ac:dyDescent="0.25">
      <c r="A33"/>
      <c r="B33"/>
      <c r="C33"/>
      <c r="D33"/>
      <c r="E33"/>
      <c r="F33"/>
    </row>
    <row r="34" spans="1:6" ht="15.75" x14ac:dyDescent="0.25">
      <c r="A34" s="16" t="s">
        <v>65</v>
      </c>
      <c r="B34" s="17"/>
      <c r="C34"/>
      <c r="D34"/>
      <c r="E34"/>
      <c r="F34"/>
    </row>
    <row r="35" spans="1:6" x14ac:dyDescent="0.25">
      <c r="A35" t="s">
        <v>64</v>
      </c>
      <c r="B35"/>
      <c r="C35"/>
      <c r="D35"/>
      <c r="E35"/>
      <c r="F35"/>
    </row>
    <row r="36" spans="1:6" x14ac:dyDescent="0.25">
      <c r="A36"/>
      <c r="B36"/>
      <c r="C36"/>
      <c r="D36"/>
      <c r="E36"/>
      <c r="F3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Page de Garde</vt:lpstr>
      <vt:lpstr>Dossier 1 - Budget</vt:lpstr>
      <vt:lpstr>Dossier 2 - Analyse Fin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 Kossi</cp:lastModifiedBy>
  <cp:lastPrinted>2026-02-03T14:13:41Z</cp:lastPrinted>
  <dcterms:created xsi:type="dcterms:W3CDTF">2026-02-03T12:48:06Z</dcterms:created>
  <dcterms:modified xsi:type="dcterms:W3CDTF">2026-02-03T14:33:37Z</dcterms:modified>
</cp:coreProperties>
</file>